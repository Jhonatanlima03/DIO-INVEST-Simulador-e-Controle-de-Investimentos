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na\OneDrive\Área de Trabalho\CERTIFICADOS\BOOTCAMP DIO\2025\BOOTCAMP DIO.ME Santander - Excel com Inteligência Artificial - 2º Semestre\Dominando Tabelas Com Excel\Desafio de Projeto\"/>
    </mc:Choice>
  </mc:AlternateContent>
  <xr:revisionPtr revIDLastSave="0" documentId="13_ncr:1_{F47E0C7F-6A28-4A06-A3C3-D5A518142B9C}" xr6:coauthVersionLast="47" xr6:coauthVersionMax="47" xr10:uidLastSave="{00000000-0000-0000-0000-000000000000}"/>
  <bookViews>
    <workbookView xWindow="-108" yWindow="-108" windowWidth="23256" windowHeight="12456" tabRatio="238" xr2:uid="{26DC60D3-191B-4BEF-B835-14E7DFFD0A81}"/>
  </bookViews>
  <sheets>
    <sheet name="Invest" sheetId="1" r:id="rId1"/>
    <sheet name="Planilha2" sheetId="2" r:id="rId2"/>
  </sheets>
  <definedNames>
    <definedName name="aporte">Invest!$D$16</definedName>
    <definedName name="patrimonio">Invest!$D$19</definedName>
    <definedName name="qtd_anos">Invest!$D$17</definedName>
    <definedName name="rendimento_carteira">Invest!$D$12</definedName>
    <definedName name="salario">Invest!$D$11</definedName>
    <definedName name="sugestao_investimento">Invest!$D$13</definedName>
    <definedName name="taxa_mensal">Invest!$D$18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C36" i="1"/>
  <c r="C37" i="1"/>
  <c r="C38" i="1"/>
  <c r="C39" i="1"/>
  <c r="C34" i="1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H3" i="2"/>
  <c r="A3" i="2"/>
  <c r="A2" i="2"/>
  <c r="C31" i="1"/>
  <c r="D13" i="1"/>
  <c r="C24" i="1"/>
  <c r="D24" i="1" s="1"/>
  <c r="C25" i="1"/>
  <c r="D25" i="1" s="1"/>
  <c r="C26" i="1"/>
  <c r="D26" i="1" s="1"/>
  <c r="C27" i="1"/>
  <c r="D27" i="1" s="1"/>
  <c r="C23" i="1"/>
  <c r="D23" i="1" s="1"/>
  <c r="D37" i="1" l="1"/>
  <c r="D34" i="1"/>
  <c r="D39" i="1"/>
  <c r="D38" i="1"/>
  <c r="D36" i="1"/>
  <c r="D35" i="1"/>
  <c r="D40" i="1" l="1"/>
  <c r="D19" i="1"/>
  <c r="D20" i="1" s="1"/>
</calcChain>
</file>

<file path=xl/sharedStrings.xml><?xml version="1.0" encoding="utf-8"?>
<sst xmlns="http://schemas.openxmlformats.org/spreadsheetml/2006/main" count="71" uniqueCount="34">
  <si>
    <t>INVESTIMENTO MENSAL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</si>
  <si>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</si>
  <si>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</si>
  <si>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</si>
  <si>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</si>
  <si>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</si>
  <si>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</si>
  <si>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Dividendo</t>
  </si>
  <si>
    <t>Quanto em 2 Anos ?</t>
  </si>
  <si>
    <t>Quanto em 5 Anos ?</t>
  </si>
  <si>
    <t>Quanto em 10 Anos ?</t>
  </si>
  <si>
    <t>Quanto em 20 Anos ?</t>
  </si>
  <si>
    <t>Quanto em 30 Anos ?</t>
  </si>
  <si>
    <t>CONFIGURAÇÕES</t>
  </si>
  <si>
    <t>Salário</t>
  </si>
  <si>
    <t>Rendimento Carteira</t>
  </si>
  <si>
    <t>Sugestão de Investimento (30%)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</si>
  <si>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</si>
  <si>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</si>
  <si>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</si>
  <si>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</si>
  <si>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</si>
  <si>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</si>
  <si>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</si>
  <si>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</si>
  <si>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</si>
  <si>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</si>
  <si>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</si>
  <si>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</si>
  <si>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</si>
  <si>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CHAVE</t>
  </si>
  <si>
    <t>%</t>
  </si>
  <si>
    <t>Moderado-TIJOLO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</si>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</sst>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Segoe UI Semibold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2"/>
      <color theme="0"/>
      <name val="Segoe UI Semibold"/>
      <family val="2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indexed="64"/>
      </right>
      <top/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indexed="64"/>
      </right>
      <top/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medium">
        <color indexed="64"/>
      </bottom>
      <diagonal/>
    </border>
    <border>
      <left/>
      <right/>
      <top style="medium">
        <color theme="0"/>
      </top>
      <bottom style="medium">
        <color indexed="64"/>
      </bottom>
      <diagonal/>
    </border>
    <border>
      <left/>
      <right style="medium">
        <color indexed="64"/>
      </right>
      <top style="medium">
        <color theme="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8" fillId="3" borderId="3" xfId="0" applyFont="1" applyFill="1" applyBorder="1" applyAlignment="1">
      <alignment horizontal="center" vertical="center"/>
    </xf>
    <xf numFmtId="0" fontId="4" fillId="0" borderId="0" xfId="0" applyFont="1"/>
    <xf numFmtId="0" fontId="9" fillId="6" borderId="1" xfId="0" applyFont="1" applyFill="1" applyBorder="1" applyAlignment="1">
      <alignment horizontal="right" vertical="center"/>
    </xf>
    <xf numFmtId="0" fontId="10" fillId="6" borderId="2" xfId="0" applyFont="1" applyFill="1" applyBorder="1" applyAlignment="1">
      <alignment horizontal="right"/>
    </xf>
    <xf numFmtId="0" fontId="9" fillId="6" borderId="3" xfId="0" applyFont="1" applyFill="1" applyBorder="1" applyAlignment="1">
      <alignment horizontal="right" vertical="center"/>
    </xf>
    <xf numFmtId="8" fontId="7" fillId="5" borderId="9" xfId="0" applyNumberFormat="1" applyFont="1" applyFill="1" applyBorder="1" applyAlignment="1">
      <alignment horizontal="center"/>
    </xf>
    <xf numFmtId="8" fontId="7" fillId="5" borderId="12" xfId="0" applyNumberFormat="1" applyFont="1" applyFill="1" applyBorder="1" applyAlignment="1">
      <alignment horizontal="center"/>
    </xf>
    <xf numFmtId="44" fontId="7" fillId="4" borderId="6" xfId="1" applyFont="1" applyFill="1" applyBorder="1" applyAlignment="1">
      <alignment horizontal="center"/>
    </xf>
    <xf numFmtId="0" fontId="7" fillId="4" borderId="9" xfId="0" applyFont="1" applyFill="1" applyBorder="1" applyAlignment="1">
      <alignment horizontal="center"/>
    </xf>
    <xf numFmtId="10" fontId="7" fillId="4" borderId="9" xfId="0" applyNumberFormat="1" applyFont="1" applyFill="1" applyBorder="1" applyAlignment="1">
      <alignment horizontal="center"/>
    </xf>
    <xf numFmtId="164" fontId="6" fillId="4" borderId="15" xfId="1" applyNumberFormat="1" applyFont="1" applyFill="1" applyBorder="1" applyAlignment="1">
      <alignment horizontal="center"/>
    </xf>
    <xf numFmtId="10" fontId="6" fillId="4" borderId="18" xfId="0" applyNumberFormat="1" applyFont="1" applyFill="1" applyBorder="1" applyAlignment="1">
      <alignment horizontal="center"/>
    </xf>
    <xf numFmtId="164" fontId="6" fillId="4" borderId="21" xfId="0" applyNumberFormat="1" applyFont="1" applyFill="1" applyBorder="1" applyAlignment="1">
      <alignment horizontal="center"/>
    </xf>
    <xf numFmtId="0" fontId="6" fillId="5" borderId="13" xfId="0" applyFont="1" applyFill="1" applyBorder="1" applyAlignment="1">
      <alignment horizontal="left" indent="3"/>
    </xf>
    <xf numFmtId="164" fontId="6" fillId="5" borderId="14" xfId="0" applyNumberFormat="1" applyFont="1" applyFill="1" applyBorder="1" applyAlignment="1">
      <alignment horizontal="center"/>
    </xf>
    <xf numFmtId="164" fontId="6" fillId="5" borderId="15" xfId="0" applyNumberFormat="1" applyFont="1" applyFill="1" applyBorder="1" applyAlignment="1">
      <alignment horizontal="center"/>
    </xf>
    <xf numFmtId="0" fontId="6" fillId="5" borderId="16" xfId="0" applyFont="1" applyFill="1" applyBorder="1" applyAlignment="1">
      <alignment horizontal="left" indent="3"/>
    </xf>
    <xf numFmtId="164" fontId="6" fillId="5" borderId="17" xfId="0" applyNumberFormat="1" applyFont="1" applyFill="1" applyBorder="1" applyAlignment="1">
      <alignment horizontal="center"/>
    </xf>
    <xf numFmtId="164" fontId="6" fillId="5" borderId="18" xfId="0" applyNumberFormat="1" applyFont="1" applyFill="1" applyBorder="1" applyAlignment="1">
      <alignment horizontal="center"/>
    </xf>
    <xf numFmtId="0" fontId="6" fillId="5" borderId="19" xfId="0" applyFont="1" applyFill="1" applyBorder="1" applyAlignment="1">
      <alignment horizontal="left" indent="3"/>
    </xf>
    <xf numFmtId="164" fontId="6" fillId="5" borderId="20" xfId="0" applyNumberFormat="1" applyFont="1" applyFill="1" applyBorder="1" applyAlignment="1">
      <alignment horizontal="center"/>
    </xf>
    <xf numFmtId="164" fontId="6" fillId="5" borderId="21" xfId="0" applyNumberFormat="1" applyFont="1" applyFill="1" applyBorder="1" applyAlignment="1">
      <alignment horizontal="center"/>
    </xf>
    <xf numFmtId="0" fontId="2" fillId="2" borderId="0" xfId="2"/>
    <xf numFmtId="0" fontId="2" fillId="2" borderId="0" xfId="2" applyAlignment="1">
      <alignment horizontal="center"/>
    </xf>
    <xf numFmtId="0" fontId="3" fillId="4" borderId="0" xfId="0" applyFont="1" applyFill="1"/>
    <xf numFmtId="164" fontId="3" fillId="4" borderId="0" xfId="1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64" fontId="0" fillId="4" borderId="0" xfId="0" applyNumberFormat="1" applyFill="1" applyAlignment="1">
      <alignment horizontal="center"/>
    </xf>
    <xf numFmtId="0" fontId="3" fillId="7" borderId="0" xfId="0" applyFont="1" applyFill="1"/>
    <xf numFmtId="164" fontId="3" fillId="7" borderId="0" xfId="0" applyNumberFormat="1" applyFont="1" applyFill="1" applyAlignment="1">
      <alignment horizontal="center"/>
    </xf>
    <xf numFmtId="0" fontId="4" fillId="8" borderId="0" xfId="0" applyFont="1" applyFill="1"/>
    <xf numFmtId="0" fontId="4" fillId="8" borderId="0" xfId="0" applyFont="1" applyFill="1" applyAlignment="1">
      <alignment horizontal="center"/>
    </xf>
    <xf numFmtId="9" fontId="2" fillId="2" borderId="0" xfId="3" applyFont="1" applyFill="1"/>
    <xf numFmtId="0" fontId="0" fillId="0" borderId="22" xfId="0" applyBorder="1"/>
    <xf numFmtId="0" fontId="0" fillId="0" borderId="22" xfId="0" applyBorder="1" applyAlignment="1">
      <alignment horizontal="center"/>
    </xf>
    <xf numFmtId="9" fontId="0" fillId="0" borderId="22" xfId="0" applyNumberFormat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9" fontId="0" fillId="9" borderId="0" xfId="0" applyNumberFormat="1" applyFill="1" applyAlignment="1">
      <alignment horizontal="center"/>
    </xf>
    <xf numFmtId="0" fontId="3" fillId="7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9" fontId="0" fillId="0" borderId="0" xfId="0" applyNumberForma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left" indent="3"/>
    </xf>
    <xf numFmtId="0" fontId="6" fillId="4" borderId="5" xfId="0" applyFont="1" applyFill="1" applyBorder="1" applyAlignment="1">
      <alignment horizontal="left" indent="3"/>
    </xf>
    <xf numFmtId="0" fontId="6" fillId="4" borderId="13" xfId="0" applyFont="1" applyFill="1" applyBorder="1" applyAlignment="1">
      <alignment horizontal="left" indent="3"/>
    </xf>
    <xf numFmtId="0" fontId="6" fillId="4" borderId="14" xfId="0" applyFont="1" applyFill="1" applyBorder="1" applyAlignment="1">
      <alignment horizontal="left" indent="3"/>
    </xf>
    <xf numFmtId="0" fontId="6" fillId="4" borderId="16" xfId="0" applyFont="1" applyFill="1" applyBorder="1" applyAlignment="1">
      <alignment horizontal="left" indent="3"/>
    </xf>
    <xf numFmtId="0" fontId="6" fillId="4" borderId="17" xfId="0" applyFont="1" applyFill="1" applyBorder="1" applyAlignment="1">
      <alignment horizontal="left" indent="3"/>
    </xf>
    <xf numFmtId="0" fontId="6" fillId="4" borderId="7" xfId="0" applyFont="1" applyFill="1" applyBorder="1" applyAlignment="1">
      <alignment horizontal="left" indent="3"/>
    </xf>
    <xf numFmtId="0" fontId="6" fillId="4" borderId="8" xfId="0" applyFont="1" applyFill="1" applyBorder="1" applyAlignment="1">
      <alignment horizontal="left" indent="3"/>
    </xf>
    <xf numFmtId="0" fontId="7" fillId="5" borderId="7" xfId="0" applyFont="1" applyFill="1" applyBorder="1" applyAlignment="1">
      <alignment horizontal="left" indent="3"/>
    </xf>
    <xf numFmtId="0" fontId="7" fillId="5" borderId="8" xfId="0" applyFont="1" applyFill="1" applyBorder="1" applyAlignment="1">
      <alignment horizontal="left" indent="3"/>
    </xf>
    <xf numFmtId="0" fontId="7" fillId="5" borderId="10" xfId="0" applyFont="1" applyFill="1" applyBorder="1" applyAlignment="1">
      <alignment horizontal="left" indent="3"/>
    </xf>
    <xf numFmtId="0" fontId="7" fillId="5" borderId="11" xfId="0" applyFont="1" applyFill="1" applyBorder="1" applyAlignment="1">
      <alignment horizontal="left" indent="3"/>
    </xf>
    <xf numFmtId="0" fontId="6" fillId="4" borderId="19" xfId="0" applyFont="1" applyFill="1" applyBorder="1" applyAlignment="1">
      <alignment horizontal="left" indent="3"/>
    </xf>
    <xf numFmtId="0" fontId="6" fillId="4" borderId="20" xfId="0" applyFont="1" applyFill="1" applyBorder="1" applyAlignment="1">
      <alignment horizontal="left" indent="3"/>
    </xf>
  </cellXfs>
  <cellStyles count="4">
    <cellStyle name="Moeda" xfId="1" builtinId="4"/>
    <cellStyle name="Neutro" xfId="2" builtinId="28"/>
    <cellStyle name="Normal" xfId="0" builtinId="0"/>
    <cellStyle name="Porcentagem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Invest!$C$33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2D-4C7C-8507-9CFD187B64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2D-4C7C-8507-9CFD187B64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2D-4C7C-8507-9CFD187B64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22D-4C7C-8507-9CFD187B64E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22D-4C7C-8507-9CFD187B64E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22D-4C7C-8507-9CFD187B64E9}"/>
              </c:ext>
            </c:extLst>
          </c:dPt>
          <c:cat>
            <c:strRef>
              <c:f>Invest!$B$34:$B$39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Invest!$C$34:$C$39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51-4223-9821-4E45C702D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563880</xdr:colOff>
      <xdr:row>0</xdr:row>
      <xdr:rowOff>129540</xdr:rowOff>
    </xdr:from>
    <xdr:to>
      <xdr:col>4</xdr:col>
      <xdr:colOff>68580</xdr:colOff>
      <xdr:row>8</xdr:row>
      <xdr:rowOff>135663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EEAADF8-6619-4D1C-97CF-42C6B3CCD3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563880" y="129540"/>
          <a:ext cx="5920740" cy="1469163"/>
        </a:xfrm>
        <a:prstGeom prst="rect">
          <a:avLst/>
        </a:prstGeom>
      </xdr:spPr>
    </xdr:pic>
    <xdr:clientData/>
  </xdr:twoCellAnchor>
  <xdr:twoCellAnchor>
    <xdr:from>
      <xdr:col>1</xdr:col>
      <xdr:colOff>601980</xdr:colOff>
      <xdr:row>41</xdr:row>
      <xdr:rowOff>118110</xdr:rowOff>
    </xdr:from>
    <xdr:to>
      <xdr:col>3</xdr:col>
      <xdr:colOff>487680</xdr:colOff>
      <xdr:row>56</xdr:row>
      <xdr:rowOff>118110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FAAAA04-3C89-B1F2-1942-09A6307B9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0FA1E-B0A5-4A51-892F-9F2EC24C8070}">
  <dimension ref="A1:K70"/>
  <sheetViews>
    <sheetView showGridLines="0" tabSelected="1" workbookViewId="0">
      <selection activeCell="F7" sqref="F7"/>
    </sheetView>
  </sheetViews>
  <sheetFormatPr defaultColWidth="0" defaultRowHeight="14.4" zeroHeight="1" x14ac:dyDescent="0.3"/>
  <cols>
    <col min="1" max="1" width="8.88671875" customWidth="1"/>
    <col min="2" max="2" width="49.88671875" customWidth="1"/>
    <col min="3" max="3" width="18.44140625" bestFit="1" customWidth="1"/>
    <col min="4" max="4" width="16.33203125" bestFit="1" customWidth="1"/>
    <col min="5" max="5" width="8.88671875" customWidth="1"/>
    <col min="6" max="10" width="8.88671875" hidden="1" customWidth="1"/>
    <col min="11" max="11" width="6.109375" hidden="1" customWidth="1"/>
    <col min="12" max="16384" width="8.88671875" hidden="1"/>
  </cols>
  <sheetData>
    <row r="1" spans="2:4" x14ac:dyDescent="0.3"/>
    <row r="2" spans="2:4" x14ac:dyDescent="0.3"/>
    <row r="3" spans="2:4" x14ac:dyDescent="0.3"/>
    <row r="4" spans="2:4" x14ac:dyDescent="0.3"/>
    <row r="5" spans="2:4" x14ac:dyDescent="0.3"/>
    <row r="6" spans="2:4" x14ac:dyDescent="0.3"/>
    <row r="7" spans="2:4" x14ac:dyDescent="0.3"/>
    <row r="8" spans="2:4" x14ac:dyDescent="0.3"/>
    <row r="9" spans="2:4" ht="15" thickBot="1" x14ac:dyDescent="0.35"/>
    <row r="10" spans="2:4" ht="27" x14ac:dyDescent="0.4">
      <c r="B10" s="3" t="s">
        <v>13</v>
      </c>
      <c r="C10" s="4"/>
      <c r="D10" s="5"/>
    </row>
    <row r="11" spans="2:4" ht="19.8" thickBot="1" x14ac:dyDescent="0.5">
      <c r="B11" s="50" t="s">
        <v>14</v>
      </c>
      <c r="C11" s="51"/>
      <c r="D11" s="11">
        <v>4200</v>
      </c>
    </row>
    <row r="12" spans="2:4" ht="19.8" thickBot="1" x14ac:dyDescent="0.5">
      <c r="B12" s="52" t="s">
        <v>15</v>
      </c>
      <c r="C12" s="53"/>
      <c r="D12" s="12">
        <v>6.0000000000000001E-3</v>
      </c>
    </row>
    <row r="13" spans="2:4" ht="19.8" thickBot="1" x14ac:dyDescent="0.5">
      <c r="B13" s="60" t="s">
        <v>16</v>
      </c>
      <c r="C13" s="61"/>
      <c r="D13" s="13">
        <f>D11*30%</f>
        <v>1260</v>
      </c>
    </row>
    <row r="14" spans="2:4" ht="15" thickBot="1" x14ac:dyDescent="0.35"/>
    <row r="15" spans="2:4" ht="29.4" x14ac:dyDescent="0.3">
      <c r="B15" s="45" t="s">
        <v>0</v>
      </c>
      <c r="C15" s="46"/>
      <c r="D15" s="47"/>
    </row>
    <row r="16" spans="2:4" ht="19.8" thickBot="1" x14ac:dyDescent="0.5">
      <c r="B16" s="48" t="s">
        <v>1</v>
      </c>
      <c r="C16" s="49"/>
      <c r="D16" s="8">
        <v>1260</v>
      </c>
    </row>
    <row r="17" spans="1:4" ht="19.8" thickBot="1" x14ac:dyDescent="0.5">
      <c r="B17" s="54" t="s">
        <v>2</v>
      </c>
      <c r="C17" s="55"/>
      <c r="D17" s="9">
        <v>10</v>
      </c>
    </row>
    <row r="18" spans="1:4" ht="19.8" thickBot="1" x14ac:dyDescent="0.5">
      <c r="B18" s="54" t="s">
        <v>3</v>
      </c>
      <c r="C18" s="55"/>
      <c r="D18" s="10">
        <v>1.0789999999999999E-2</v>
      </c>
    </row>
    <row r="19" spans="1:4" ht="19.8" thickBot="1" x14ac:dyDescent="0.5">
      <c r="B19" s="56" t="s">
        <v>4</v>
      </c>
      <c r="C19" s="57"/>
      <c r="D19" s="6">
        <f>FV(taxa_mensal,qtd_anos*12,aporte*-1)</f>
        <v>306538.10778801696</v>
      </c>
    </row>
    <row r="20" spans="1:4" ht="19.8" thickBot="1" x14ac:dyDescent="0.5">
      <c r="B20" s="58" t="s">
        <v>5</v>
      </c>
      <c r="C20" s="59"/>
      <c r="D20" s="7">
        <f>patrimonio*rendimento_carteira</f>
        <v>1839.2286467281017</v>
      </c>
    </row>
    <row r="21" spans="1:4" ht="15" thickBot="1" x14ac:dyDescent="0.35"/>
    <row r="22" spans="1:4" ht="29.4" x14ac:dyDescent="0.3">
      <c r="B22" s="45" t="s">
        <v>6</v>
      </c>
      <c r="C22" s="46"/>
      <c r="D22" s="1" t="s">
        <v>7</v>
      </c>
    </row>
    <row r="23" spans="1:4" ht="19.8" thickBot="1" x14ac:dyDescent="0.5">
      <c r="A23" s="2">
        <v>2</v>
      </c>
      <c r="B23" s="14" t="s">
        <v>8</v>
      </c>
      <c r="C23" s="15">
        <f>FV($D$18,$A23*12,$D$16*-1)</f>
        <v>34306.810395032975</v>
      </c>
      <c r="D23" s="16">
        <f>C23*rendimento_carteira</f>
        <v>205.84086237019787</v>
      </c>
    </row>
    <row r="24" spans="1:4" ht="19.8" thickBot="1" x14ac:dyDescent="0.5">
      <c r="A24" s="2">
        <v>5</v>
      </c>
      <c r="B24" s="17" t="s">
        <v>9</v>
      </c>
      <c r="C24" s="18">
        <f t="shared" ref="C24:C27" si="0">FV($D$18,$A24*12,$D$16*-1)</f>
        <v>105558.91163809443</v>
      </c>
      <c r="D24" s="19">
        <f>C24*rendimento_carteira</f>
        <v>633.35346982856663</v>
      </c>
    </row>
    <row r="25" spans="1:4" ht="19.8" thickBot="1" x14ac:dyDescent="0.5">
      <c r="A25" s="2">
        <v>10</v>
      </c>
      <c r="B25" s="17" t="s">
        <v>10</v>
      </c>
      <c r="C25" s="18">
        <f t="shared" si="0"/>
        <v>306538.10778801696</v>
      </c>
      <c r="D25" s="19">
        <f>C25*rendimento_carteira</f>
        <v>1839.2286467281017</v>
      </c>
    </row>
    <row r="26" spans="1:4" ht="19.8" thickBot="1" x14ac:dyDescent="0.5">
      <c r="A26" s="2">
        <v>20</v>
      </c>
      <c r="B26" s="17" t="s">
        <v>11</v>
      </c>
      <c r="C26" s="18">
        <f t="shared" si="0"/>
        <v>1417749.9841223215</v>
      </c>
      <c r="D26" s="19">
        <f>C26*rendimento_carteira</f>
        <v>8506.4999047339297</v>
      </c>
    </row>
    <row r="27" spans="1:4" ht="19.8" thickBot="1" x14ac:dyDescent="0.5">
      <c r="A27" s="2">
        <v>30</v>
      </c>
      <c r="B27" s="20" t="s">
        <v>12</v>
      </c>
      <c r="C27" s="21">
        <f t="shared" si="0"/>
        <v>5445933.7653059401</v>
      </c>
      <c r="D27" s="22">
        <f>C27*rendimento_carteira</f>
        <v>32675.602591835643</v>
      </c>
    </row>
    <row r="28" spans="1:4" x14ac:dyDescent="0.3"/>
    <row r="29" spans="1:4" x14ac:dyDescent="0.3"/>
    <row r="30" spans="1:4" x14ac:dyDescent="0.3">
      <c r="B30" s="23" t="s">
        <v>17</v>
      </c>
      <c r="C30" s="24" t="s">
        <v>33</v>
      </c>
      <c r="D30" s="23"/>
    </row>
    <row r="31" spans="1:4" x14ac:dyDescent="0.3">
      <c r="B31" s="25" t="s">
        <v>19</v>
      </c>
      <c r="C31" s="26">
        <f>aporte</f>
        <v>1260</v>
      </c>
      <c r="D31" s="25"/>
    </row>
    <row r="32" spans="1:4" x14ac:dyDescent="0.3"/>
    <row r="33" spans="2:4" x14ac:dyDescent="0.3">
      <c r="B33" s="42" t="s">
        <v>20</v>
      </c>
      <c r="C33" s="42" t="s">
        <v>21</v>
      </c>
      <c r="D33" s="27" t="s">
        <v>22</v>
      </c>
    </row>
    <row r="34" spans="2:4" x14ac:dyDescent="0.3">
      <c r="B34" s="43" t="s">
        <v>23</v>
      </c>
      <c r="C34" s="44">
        <f>VLOOKUP($C$30&amp;"-"&amp;B34,Planilha2!$A$1:$D$19,4,FALSE)</f>
        <v>0.5</v>
      </c>
      <c r="D34" s="30">
        <f>C34*$C$31</f>
        <v>630</v>
      </c>
    </row>
    <row r="35" spans="2:4" x14ac:dyDescent="0.3">
      <c r="B35" s="43" t="s">
        <v>24</v>
      </c>
      <c r="C35" s="44">
        <f>VLOOKUP($C$30&amp;"-"&amp;B35,Planilha2!$A$1:$D$19,4,FALSE)</f>
        <v>0.1</v>
      </c>
      <c r="D35" s="30">
        <f t="shared" ref="D35:D39" si="1">C35*$C$31</f>
        <v>126</v>
      </c>
    </row>
    <row r="36" spans="2:4" x14ac:dyDescent="0.3">
      <c r="B36" s="43" t="s">
        <v>25</v>
      </c>
      <c r="C36" s="44">
        <f>VLOOKUP($C$30&amp;"-"&amp;B36,Planilha2!$A$1:$D$19,4,FALSE)</f>
        <v>0.05</v>
      </c>
      <c r="D36" s="30">
        <f t="shared" si="1"/>
        <v>63</v>
      </c>
    </row>
    <row r="37" spans="2:4" x14ac:dyDescent="0.3">
      <c r="B37" s="43" t="s">
        <v>26</v>
      </c>
      <c r="C37" s="44">
        <f>VLOOKUP($C$30&amp;"-"&amp;B37,Planilha2!$A$1:$D$19,4,FALSE)</f>
        <v>0.05</v>
      </c>
      <c r="D37" s="30">
        <f t="shared" si="1"/>
        <v>63</v>
      </c>
    </row>
    <row r="38" spans="2:4" x14ac:dyDescent="0.3">
      <c r="B38" s="43" t="s">
        <v>27</v>
      </c>
      <c r="C38" s="44">
        <f>VLOOKUP($C$30&amp;"-"&amp;B38,Planilha2!$A$1:$D$19,4,FALSE)</f>
        <v>0.2</v>
      </c>
      <c r="D38" s="30">
        <f t="shared" si="1"/>
        <v>252</v>
      </c>
    </row>
    <row r="39" spans="2:4" x14ac:dyDescent="0.3">
      <c r="B39" s="43" t="s">
        <v>28</v>
      </c>
      <c r="C39" s="44">
        <f>VLOOKUP($C$30&amp;"-"&amp;B39,Planilha2!$A$1:$D$19,4,FALSE)</f>
        <v>0.1</v>
      </c>
      <c r="D39" s="30">
        <f t="shared" si="1"/>
        <v>126</v>
      </c>
    </row>
    <row r="40" spans="2:4" x14ac:dyDescent="0.3">
      <c r="B40" s="31"/>
      <c r="C40" s="31"/>
      <c r="D40" s="32">
        <f>SUM(D34:D39)</f>
        <v>1260</v>
      </c>
    </row>
    <row r="41" spans="2:4" x14ac:dyDescent="0.3"/>
    <row r="42" spans="2:4" x14ac:dyDescent="0.3"/>
    <row r="43" spans="2:4" x14ac:dyDescent="0.3"/>
    <row r="44" spans="2:4" x14ac:dyDescent="0.3"/>
    <row r="45" spans="2:4" x14ac:dyDescent="0.3"/>
    <row r="46" spans="2:4" x14ac:dyDescent="0.3"/>
    <row r="47" spans="2:4" x14ac:dyDescent="0.3"/>
    <row r="48" spans="2:4" x14ac:dyDescent="0.3"/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hidden="1" x14ac:dyDescent="0.3"/>
    <row r="60" customFormat="1" hidden="1" x14ac:dyDescent="0.3"/>
    <row r="61" customFormat="1" hidden="1" x14ac:dyDescent="0.3"/>
    <row r="62" customFormat="1" hidden="1" x14ac:dyDescent="0.3"/>
    <row r="63" customFormat="1" hidden="1" x14ac:dyDescent="0.3"/>
    <row r="64" customFormat="1" hidden="1" x14ac:dyDescent="0.3"/>
    <row r="65" customFormat="1" hidden="1" x14ac:dyDescent="0.3"/>
    <row r="66" customFormat="1" hidden="1" x14ac:dyDescent="0.3"/>
    <row r="67" customFormat="1" hidden="1" x14ac:dyDescent="0.3"/>
    <row r="68" customFormat="1" hidden="1" x14ac:dyDescent="0.3"/>
    <row r="69" customFormat="1" hidden="1" x14ac:dyDescent="0.3"/>
    <row r="70" customFormat="1" hidden="1" x14ac:dyDescent="0.3"/>
  </sheetData>
  <mergeCells count="10">
    <mergeCell ref="B15:D15"/>
    <mergeCell ref="B16:C16"/>
    <mergeCell ref="B22:C22"/>
    <mergeCell ref="B11:C11"/>
    <mergeCell ref="B12:C12"/>
    <mergeCell ref="B17:C17"/>
    <mergeCell ref="B18:C18"/>
    <mergeCell ref="B19:C19"/>
    <mergeCell ref="B20:C20"/>
    <mergeCell ref="B13:C13"/>
  </mergeCells>
  <dataValidations count="1">
    <dataValidation type="list" allowBlank="1" showInputMessage="1" showErrorMessage="1" sqref="C30" xr:uid="{33B6B7CE-BF74-406B-84AE-3C6B85A79024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6E10E-B578-4E4D-8428-36ABE69D0B22}">
  <dimension ref="A1:H19"/>
  <sheetViews>
    <sheetView workbookViewId="0">
      <selection activeCell="G11" sqref="G11"/>
    </sheetView>
  </sheetViews>
  <sheetFormatPr defaultRowHeight="14.4" x14ac:dyDescent="0.3"/>
  <cols>
    <col min="1" max="1" width="28.77734375" bestFit="1" customWidth="1"/>
    <col min="2" max="2" width="11.21875" bestFit="1" customWidth="1"/>
    <col min="3" max="3" width="17.6640625" bestFit="1" customWidth="1"/>
    <col min="4" max="4" width="11.109375" customWidth="1"/>
    <col min="7" max="7" width="15.44140625" bestFit="1" customWidth="1"/>
  </cols>
  <sheetData>
    <row r="1" spans="1:8" x14ac:dyDescent="0.3">
      <c r="A1" s="33" t="s">
        <v>30</v>
      </c>
      <c r="B1" s="33" t="s">
        <v>17</v>
      </c>
      <c r="C1" s="34" t="s">
        <v>20</v>
      </c>
      <c r="D1" s="34" t="s">
        <v>31</v>
      </c>
    </row>
    <row r="2" spans="1:8" x14ac:dyDescent="0.3">
      <c r="A2" t="str">
        <f>B2&amp;"-"&amp;C2</f>
        <v>Conservador-PAPEL</v>
      </c>
      <c r="B2" t="s">
        <v>29</v>
      </c>
      <c r="C2" s="28" t="s">
        <v>23</v>
      </c>
      <c r="D2" s="29">
        <v>0.3</v>
      </c>
      <c r="H2" t="s">
        <v>31</v>
      </c>
    </row>
    <row r="3" spans="1:8" x14ac:dyDescent="0.3">
      <c r="A3" t="str">
        <f t="shared" ref="A3:A19" si="0">B3&amp;"-"&amp;C3</f>
        <v>Conservador-TIJOLO</v>
      </c>
      <c r="B3" t="s">
        <v>29</v>
      </c>
      <c r="C3" s="28" t="s">
        <v>24</v>
      </c>
      <c r="D3" s="29">
        <v>0.5</v>
      </c>
      <c r="G3" s="23" t="s">
        <v>32</v>
      </c>
      <c r="H3" s="35">
        <f>VLOOKUP(G3,$A:$D,4,FALSE)</f>
        <v>0.35</v>
      </c>
    </row>
    <row r="4" spans="1:8" x14ac:dyDescent="0.3">
      <c r="A4" t="str">
        <f t="shared" si="0"/>
        <v>Conservador-HÍBRIDOS</v>
      </c>
      <c r="B4" t="s">
        <v>29</v>
      </c>
      <c r="C4" s="28" t="s">
        <v>25</v>
      </c>
      <c r="D4" s="29">
        <v>0.1</v>
      </c>
    </row>
    <row r="5" spans="1:8" x14ac:dyDescent="0.3">
      <c r="A5" t="str">
        <f t="shared" si="0"/>
        <v>Conservador-FOFs</v>
      </c>
      <c r="B5" t="s">
        <v>29</v>
      </c>
      <c r="C5" s="28" t="s">
        <v>26</v>
      </c>
      <c r="D5" s="29">
        <v>0.1</v>
      </c>
    </row>
    <row r="6" spans="1:8" x14ac:dyDescent="0.3">
      <c r="A6" t="str">
        <f t="shared" si="0"/>
        <v>Conservador-DESENVOLVIMENTO</v>
      </c>
      <c r="B6" t="s">
        <v>29</v>
      </c>
      <c r="C6" s="28" t="s">
        <v>27</v>
      </c>
      <c r="D6" s="29">
        <v>0</v>
      </c>
    </row>
    <row r="7" spans="1:8" ht="15" thickBot="1" x14ac:dyDescent="0.35">
      <c r="A7" s="36" t="str">
        <f t="shared" si="0"/>
        <v>Conservador-HOTELARIAS</v>
      </c>
      <c r="B7" s="36" t="s">
        <v>29</v>
      </c>
      <c r="C7" s="37" t="s">
        <v>28</v>
      </c>
      <c r="D7" s="38">
        <v>0</v>
      </c>
    </row>
    <row r="8" spans="1:8" x14ac:dyDescent="0.3">
      <c r="A8" t="str">
        <f t="shared" si="0"/>
        <v>Moderado-PAPEL</v>
      </c>
      <c r="B8" t="s">
        <v>18</v>
      </c>
      <c r="C8" s="28" t="s">
        <v>23</v>
      </c>
      <c r="D8" s="29">
        <v>0.32</v>
      </c>
    </row>
    <row r="9" spans="1:8" x14ac:dyDescent="0.3">
      <c r="A9" s="39" t="str">
        <f t="shared" si="0"/>
        <v>Moderado-TIJOLO</v>
      </c>
      <c r="B9" s="39" t="s">
        <v>18</v>
      </c>
      <c r="C9" s="40" t="s">
        <v>24</v>
      </c>
      <c r="D9" s="41">
        <v>0.35</v>
      </c>
    </row>
    <row r="10" spans="1:8" x14ac:dyDescent="0.3">
      <c r="A10" t="str">
        <f t="shared" si="0"/>
        <v>Moderado-HÍBRIDOS</v>
      </c>
      <c r="B10" t="s">
        <v>18</v>
      </c>
      <c r="C10" s="28" t="s">
        <v>25</v>
      </c>
      <c r="D10" s="29">
        <v>0.08</v>
      </c>
    </row>
    <row r="11" spans="1:8" x14ac:dyDescent="0.3">
      <c r="A11" t="str">
        <f t="shared" si="0"/>
        <v>Moderado-FOFs</v>
      </c>
      <c r="B11" t="s">
        <v>18</v>
      </c>
      <c r="C11" s="28" t="s">
        <v>26</v>
      </c>
      <c r="D11" s="29">
        <v>0.05</v>
      </c>
    </row>
    <row r="12" spans="1:8" x14ac:dyDescent="0.3">
      <c r="A12" t="str">
        <f t="shared" si="0"/>
        <v>Moderado-DESENVOLVIMENTO</v>
      </c>
      <c r="B12" t="s">
        <v>18</v>
      </c>
      <c r="C12" s="28" t="s">
        <v>27</v>
      </c>
      <c r="D12" s="29">
        <v>0.1</v>
      </c>
    </row>
    <row r="13" spans="1:8" ht="15" thickBot="1" x14ac:dyDescent="0.35">
      <c r="A13" s="36" t="str">
        <f t="shared" si="0"/>
        <v>Moderado-HOTELARIAS</v>
      </c>
      <c r="B13" s="36" t="s">
        <v>18</v>
      </c>
      <c r="C13" s="37" t="s">
        <v>28</v>
      </c>
      <c r="D13" s="38">
        <v>0.1</v>
      </c>
    </row>
    <row r="14" spans="1:8" x14ac:dyDescent="0.3">
      <c r="A14" t="str">
        <f t="shared" si="0"/>
        <v>Agressivo-PAPEL</v>
      </c>
      <c r="B14" t="s">
        <v>33</v>
      </c>
      <c r="C14" s="28" t="s">
        <v>23</v>
      </c>
      <c r="D14" s="29">
        <v>0.5</v>
      </c>
    </row>
    <row r="15" spans="1:8" x14ac:dyDescent="0.3">
      <c r="A15" t="str">
        <f t="shared" si="0"/>
        <v>Agressivo-TIJOLO</v>
      </c>
      <c r="B15" t="s">
        <v>33</v>
      </c>
      <c r="C15" s="28" t="s">
        <v>24</v>
      </c>
      <c r="D15" s="29">
        <v>0.1</v>
      </c>
    </row>
    <row r="16" spans="1:8" x14ac:dyDescent="0.3">
      <c r="A16" t="str">
        <f t="shared" si="0"/>
        <v>Agressivo-HÍBRIDOS</v>
      </c>
      <c r="B16" t="s">
        <v>33</v>
      </c>
      <c r="C16" s="28" t="s">
        <v>25</v>
      </c>
      <c r="D16" s="29">
        <v>0.05</v>
      </c>
    </row>
    <row r="17" spans="1:4" x14ac:dyDescent="0.3">
      <c r="A17" t="str">
        <f t="shared" si="0"/>
        <v>Agressivo-FOFs</v>
      </c>
      <c r="B17" t="s">
        <v>33</v>
      </c>
      <c r="C17" s="28" t="s">
        <v>26</v>
      </c>
      <c r="D17" s="29">
        <v>0.05</v>
      </c>
    </row>
    <row r="18" spans="1:4" x14ac:dyDescent="0.3">
      <c r="A18" t="str">
        <f t="shared" si="0"/>
        <v>Agressivo-DESENVOLVIMENTO</v>
      </c>
      <c r="B18" t="s">
        <v>33</v>
      </c>
      <c r="C18" s="28" t="s">
        <v>27</v>
      </c>
      <c r="D18" s="29">
        <v>0.2</v>
      </c>
    </row>
    <row r="19" spans="1:4" x14ac:dyDescent="0.3">
      <c r="A19" t="str">
        <f t="shared" si="0"/>
        <v>Agressivo-HOTELARIAS</v>
      </c>
      <c r="B19" t="s">
        <v>33</v>
      </c>
      <c r="C19" s="28" t="s">
        <v>28</v>
      </c>
      <c r="D19" s="2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Invest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Fagundes pires de Lima</dc:creator>
  <cp:lastModifiedBy>Jhonatan Fagundes pires de Lima</cp:lastModifiedBy>
  <dcterms:created xsi:type="dcterms:W3CDTF">2026-02-14T20:05:13Z</dcterms:created>
  <dcterms:modified xsi:type="dcterms:W3CDTF">2026-02-14T23:33:44Z</dcterms:modified>
</cp:coreProperties>
</file>